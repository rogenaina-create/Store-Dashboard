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26caec22f20488f5/Desktop/"/>
    </mc:Choice>
  </mc:AlternateContent>
  <xr:revisionPtr revIDLastSave="0" documentId="8_{F8A09EE8-6EF2-4D32-A519-2D1A732B0C3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tudents" sheetId="1" r:id="rId1"/>
    <sheet name="Academic" sheetId="2" r:id="rId2"/>
    <sheet name="Skills" sheetId="3" r:id="rId3"/>
    <sheet name="Placement" sheetId="4" r:id="rId4"/>
  </sheets>
  <definedNames>
    <definedName name="_xlnm._FilterDatabase" localSheetId="1" hidden="1">Academic!$A$1:$E$51</definedName>
    <definedName name="_xlnm._FilterDatabase" localSheetId="3" hidden="1">Placement!$A$1:$E$1</definedName>
    <definedName name="_xlnm._FilterDatabase" localSheetId="2" hidden="1">Skills!$A$1:$F$1</definedName>
    <definedName name="_xlnm._FilterDatabase" localSheetId="0" hidden="1">Students!$A$1:$F$51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" i="2" l="1"/>
  <c r="I26" i="2"/>
  <c r="I25" i="2"/>
  <c r="J12" i="2"/>
  <c r="I8" i="2"/>
  <c r="J4" i="1"/>
  <c r="I18" i="1"/>
  <c r="I2" i="1"/>
  <c r="I2" i="2"/>
  <c r="K7" i="2"/>
  <c r="I3" i="2"/>
</calcChain>
</file>

<file path=xl/sharedStrings.xml><?xml version="1.0" encoding="utf-8"?>
<sst xmlns="http://schemas.openxmlformats.org/spreadsheetml/2006/main" count="772" uniqueCount="142">
  <si>
    <t>Student_ID</t>
  </si>
  <si>
    <t>Student_Name</t>
  </si>
  <si>
    <t>Gender</t>
  </si>
  <si>
    <t>Department</t>
  </si>
  <si>
    <t>Year</t>
  </si>
  <si>
    <t>Age</t>
  </si>
  <si>
    <t>STU1001</t>
  </si>
  <si>
    <t>Aarav</t>
  </si>
  <si>
    <t>Male</t>
  </si>
  <si>
    <t>B.Com</t>
  </si>
  <si>
    <t>STU1002</t>
  </si>
  <si>
    <t>Aditi</t>
  </si>
  <si>
    <t>Female</t>
  </si>
  <si>
    <t>BBA</t>
  </si>
  <si>
    <t>STU1003</t>
  </si>
  <si>
    <t>Akash</t>
  </si>
  <si>
    <t>STU1004</t>
  </si>
  <si>
    <t>Ananya</t>
  </si>
  <si>
    <t>STU1005</t>
  </si>
  <si>
    <t>Aryan</t>
  </si>
  <si>
    <t>BCA</t>
  </si>
  <si>
    <t>STU1006</t>
  </si>
  <si>
    <t>Bhakti</t>
  </si>
  <si>
    <t>STU1007</t>
  </si>
  <si>
    <t>Chetan</t>
  </si>
  <si>
    <t>STU1008</t>
  </si>
  <si>
    <t>Diya</t>
  </si>
  <si>
    <t>STU1009</t>
  </si>
  <si>
    <t>Esha</t>
  </si>
  <si>
    <t>STU1010</t>
  </si>
  <si>
    <t>Gaurav</t>
  </si>
  <si>
    <t>STU1011</t>
  </si>
  <si>
    <t>Isha</t>
  </si>
  <si>
    <t>STU1012</t>
  </si>
  <si>
    <t>Jay</t>
  </si>
  <si>
    <t>STU1013</t>
  </si>
  <si>
    <t>Karan</t>
  </si>
  <si>
    <t>STU1014</t>
  </si>
  <si>
    <t>Kavya</t>
  </si>
  <si>
    <t>STU1015</t>
  </si>
  <si>
    <t>Komal</t>
  </si>
  <si>
    <t>STU1016</t>
  </si>
  <si>
    <t>Manish</t>
  </si>
  <si>
    <t>STU1017</t>
  </si>
  <si>
    <t>Meera</t>
  </si>
  <si>
    <t>STU1018</t>
  </si>
  <si>
    <t>Neha</t>
  </si>
  <si>
    <t>STU1019</t>
  </si>
  <si>
    <t>Nikhil</t>
  </si>
  <si>
    <t>STU1020</t>
  </si>
  <si>
    <t>Pooja</t>
  </si>
  <si>
    <t>STU1021</t>
  </si>
  <si>
    <t>Pranav</t>
  </si>
  <si>
    <t>STU1022</t>
  </si>
  <si>
    <t>Priya</t>
  </si>
  <si>
    <t>STU1023</t>
  </si>
  <si>
    <t>Rahul</t>
  </si>
  <si>
    <t>STU1024</t>
  </si>
  <si>
    <t>Riya</t>
  </si>
  <si>
    <t>STU1025</t>
  </si>
  <si>
    <t>Rohan</t>
  </si>
  <si>
    <t>STU1026</t>
  </si>
  <si>
    <t>Sakshi</t>
  </si>
  <si>
    <t>STU1027</t>
  </si>
  <si>
    <t>Sameer</t>
  </si>
  <si>
    <t>STU1028</t>
  </si>
  <si>
    <t>Shreya</t>
  </si>
  <si>
    <t>STU1029</t>
  </si>
  <si>
    <t>Sneha</t>
  </si>
  <si>
    <t>STU1030</t>
  </si>
  <si>
    <t>Soham</t>
  </si>
  <si>
    <t>STU1031</t>
  </si>
  <si>
    <t>Tanvi</t>
  </si>
  <si>
    <t>STU1032</t>
  </si>
  <si>
    <t>Tejas</t>
  </si>
  <si>
    <t>STU1033</t>
  </si>
  <si>
    <t>Vaishnavi</t>
  </si>
  <si>
    <t>STU1034</t>
  </si>
  <si>
    <t>Varun</t>
  </si>
  <si>
    <t>STU1035</t>
  </si>
  <si>
    <t>Vedant</t>
  </si>
  <si>
    <t>STU1036</t>
  </si>
  <si>
    <t>Yash</t>
  </si>
  <si>
    <t>STU1037</t>
  </si>
  <si>
    <t>Zoya</t>
  </si>
  <si>
    <t>STU1038</t>
  </si>
  <si>
    <t>Aniket</t>
  </si>
  <si>
    <t>STU1039</t>
  </si>
  <si>
    <t>Mansi</t>
  </si>
  <si>
    <t>STU1040</t>
  </si>
  <si>
    <t>Om</t>
  </si>
  <si>
    <t>STU1041</t>
  </si>
  <si>
    <t>Pallavi</t>
  </si>
  <si>
    <t>STU1042</t>
  </si>
  <si>
    <t>Rutuja</t>
  </si>
  <si>
    <t>STU1043</t>
  </si>
  <si>
    <t>Siddharth</t>
  </si>
  <si>
    <t>STU1044</t>
  </si>
  <si>
    <t>Simran</t>
  </si>
  <si>
    <t>STU1045</t>
  </si>
  <si>
    <t>Tushar</t>
  </si>
  <si>
    <t>STU1046</t>
  </si>
  <si>
    <t>Vivek</t>
  </si>
  <si>
    <t>STU1047</t>
  </si>
  <si>
    <t>Yuvraj</t>
  </si>
  <si>
    <t>STU1048</t>
  </si>
  <si>
    <t>Naina</t>
  </si>
  <si>
    <t>STU1049</t>
  </si>
  <si>
    <t>Harsh</t>
  </si>
  <si>
    <t>STU1050</t>
  </si>
  <si>
    <t>Mitali</t>
  </si>
  <si>
    <t>Semester</t>
  </si>
  <si>
    <t>CGPA</t>
  </si>
  <si>
    <t>Attendance</t>
  </si>
  <si>
    <t>Backlogs</t>
  </si>
  <si>
    <t>Excel</t>
  </si>
  <si>
    <t>SQL</t>
  </si>
  <si>
    <t>Python</t>
  </si>
  <si>
    <t>Power_BI</t>
  </si>
  <si>
    <t>Communication</t>
  </si>
  <si>
    <t>Intermediate</t>
  </si>
  <si>
    <t>Advanced</t>
  </si>
  <si>
    <t>Basic</t>
  </si>
  <si>
    <t>Good</t>
  </si>
  <si>
    <t>Internship</t>
  </si>
  <si>
    <t>Placement_Status</t>
  </si>
  <si>
    <t>Company</t>
  </si>
  <si>
    <t>Package_LPA</t>
  </si>
  <si>
    <t>Yes</t>
  </si>
  <si>
    <t>Placed</t>
  </si>
  <si>
    <t>HCL</t>
  </si>
  <si>
    <t>Not Eligible</t>
  </si>
  <si>
    <t>N/A</t>
  </si>
  <si>
    <t>Infosys</t>
  </si>
  <si>
    <t>No</t>
  </si>
  <si>
    <t>Deloitte</t>
  </si>
  <si>
    <t>Accenture</t>
  </si>
  <si>
    <t>Capgemini</t>
  </si>
  <si>
    <t>TCS</t>
  </si>
  <si>
    <t>Eligible - Not Placed</t>
  </si>
  <si>
    <t>Tech Mahindra</t>
  </si>
  <si>
    <t>Wipro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</si>
</sst>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abSelected="1" workbookViewId="0">
      <selection activeCell="J5" sqref="J5"/>
    </sheetView>
  </sheetViews>
  <sheetFormatPr defaultRowHeight="14.4" x14ac:dyDescent="0.3"/>
  <cols>
    <col min="1" max="1" width="14.44140625" customWidth="1"/>
    <col min="2" max="2" width="18" customWidth="1"/>
    <col min="3" max="3" width="11.6640625" customWidth="1"/>
    <col min="4" max="4" width="1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0" x14ac:dyDescent="0.3">
      <c r="A2" t="s">
        <v>6</v>
      </c>
      <c r="B2" t="s">
        <v>7</v>
      </c>
      <c r="C2" t="s">
        <v>8</v>
      </c>
      <c r="D2" t="s">
        <v>9</v>
      </c>
      <c r="E2">
        <v>3</v>
      </c>
      <c r="F2">
        <v>23</v>
      </c>
      <c r="I2">
        <f>SUBTOTAL(103, A2:A51)</f>
        <v>50</v>
      </c>
    </row>
    <row r="3" spans="1:10" x14ac:dyDescent="0.3">
      <c r="A3" t="s">
        <v>10</v>
      </c>
      <c r="B3" t="s">
        <v>11</v>
      </c>
      <c r="C3" t="s">
        <v>12</v>
      </c>
      <c r="D3" t="s">
        <v>13</v>
      </c>
      <c r="E3">
        <v>2</v>
      </c>
      <c r="F3">
        <v>21</v>
      </c>
    </row>
    <row r="4" spans="1:10" x14ac:dyDescent="0.3">
      <c r="A4" t="s">
        <v>14</v>
      </c>
      <c r="B4" t="s">
        <v>15</v>
      </c>
      <c r="C4" t="s">
        <v>8</v>
      </c>
      <c r="D4" t="s">
        <v>9</v>
      </c>
      <c r="E4">
        <v>3</v>
      </c>
      <c r="F4">
        <v>22</v>
      </c>
      <c r="J4">
        <f>SUBTOTAL(103, A2:A51)</f>
        <v>50</v>
      </c>
    </row>
    <row r="5" spans="1:10" x14ac:dyDescent="0.3">
      <c r="A5" t="s">
        <v>16</v>
      </c>
      <c r="B5" t="s">
        <v>17</v>
      </c>
      <c r="C5" t="s">
        <v>8</v>
      </c>
      <c r="D5" t="s">
        <v>9</v>
      </c>
      <c r="E5">
        <v>2</v>
      </c>
      <c r="F5">
        <v>21</v>
      </c>
    </row>
    <row r="6" spans="1:10" x14ac:dyDescent="0.3">
      <c r="A6" t="s">
        <v>18</v>
      </c>
      <c r="B6" t="s">
        <v>19</v>
      </c>
      <c r="C6" t="s">
        <v>8</v>
      </c>
      <c r="D6" t="s">
        <v>20</v>
      </c>
      <c r="E6">
        <v>2</v>
      </c>
      <c r="F6">
        <v>21</v>
      </c>
    </row>
    <row r="7" spans="1:10" x14ac:dyDescent="0.3">
      <c r="A7" t="s">
        <v>21</v>
      </c>
      <c r="B7" t="s">
        <v>22</v>
      </c>
      <c r="C7" t="s">
        <v>12</v>
      </c>
      <c r="D7" t="s">
        <v>9</v>
      </c>
      <c r="E7">
        <v>3</v>
      </c>
      <c r="F7">
        <v>19</v>
      </c>
    </row>
    <row r="8" spans="1:10" x14ac:dyDescent="0.3">
      <c r="A8" t="s">
        <v>23</v>
      </c>
      <c r="B8" t="s">
        <v>24</v>
      </c>
      <c r="C8" t="s">
        <v>8</v>
      </c>
      <c r="D8" t="s">
        <v>20</v>
      </c>
      <c r="E8">
        <v>3</v>
      </c>
      <c r="F8">
        <v>21</v>
      </c>
    </row>
    <row r="9" spans="1:10" x14ac:dyDescent="0.3">
      <c r="A9" t="s">
        <v>25</v>
      </c>
      <c r="B9" t="s">
        <v>26</v>
      </c>
      <c r="C9" t="s">
        <v>8</v>
      </c>
      <c r="D9" t="s">
        <v>9</v>
      </c>
      <c r="E9">
        <v>2</v>
      </c>
      <c r="F9">
        <v>23</v>
      </c>
    </row>
    <row r="10" spans="1:10" x14ac:dyDescent="0.3">
      <c r="A10" t="s">
        <v>27</v>
      </c>
      <c r="B10" t="s">
        <v>28</v>
      </c>
      <c r="C10" t="s">
        <v>8</v>
      </c>
      <c r="D10" t="s">
        <v>9</v>
      </c>
      <c r="E10">
        <v>3</v>
      </c>
      <c r="F10">
        <v>21</v>
      </c>
    </row>
    <row r="11" spans="1:10" x14ac:dyDescent="0.3">
      <c r="A11" t="s">
        <v>29</v>
      </c>
      <c r="B11" t="s">
        <v>30</v>
      </c>
      <c r="C11" t="s">
        <v>12</v>
      </c>
      <c r="D11" t="s">
        <v>20</v>
      </c>
      <c r="E11">
        <v>3</v>
      </c>
      <c r="F11">
        <v>19</v>
      </c>
    </row>
    <row r="12" spans="1:10" x14ac:dyDescent="0.3">
      <c r="A12" t="s">
        <v>31</v>
      </c>
      <c r="B12" t="s">
        <v>32</v>
      </c>
      <c r="C12" t="s">
        <v>8</v>
      </c>
      <c r="D12" t="s">
        <v>20</v>
      </c>
      <c r="E12">
        <v>3</v>
      </c>
      <c r="F12">
        <v>23</v>
      </c>
    </row>
    <row r="13" spans="1:10" x14ac:dyDescent="0.3">
      <c r="A13" t="s">
        <v>33</v>
      </c>
      <c r="B13" t="s">
        <v>34</v>
      </c>
      <c r="C13" t="s">
        <v>8</v>
      </c>
      <c r="D13" t="s">
        <v>9</v>
      </c>
      <c r="E13">
        <v>2</v>
      </c>
      <c r="F13">
        <v>20</v>
      </c>
    </row>
    <row r="14" spans="1:10" x14ac:dyDescent="0.3">
      <c r="A14" t="s">
        <v>35</v>
      </c>
      <c r="B14" t="s">
        <v>36</v>
      </c>
      <c r="C14" t="s">
        <v>8</v>
      </c>
      <c r="D14" t="s">
        <v>13</v>
      </c>
      <c r="E14">
        <v>2</v>
      </c>
      <c r="F14">
        <v>21</v>
      </c>
    </row>
    <row r="15" spans="1:10" x14ac:dyDescent="0.3">
      <c r="A15" t="s">
        <v>37</v>
      </c>
      <c r="B15" t="s">
        <v>38</v>
      </c>
      <c r="C15" t="s">
        <v>8</v>
      </c>
      <c r="D15" t="s">
        <v>20</v>
      </c>
      <c r="E15">
        <v>2</v>
      </c>
      <c r="F15">
        <v>19</v>
      </c>
    </row>
    <row r="16" spans="1:10" x14ac:dyDescent="0.3">
      <c r="A16" t="s">
        <v>39</v>
      </c>
      <c r="B16" t="s">
        <v>40</v>
      </c>
      <c r="C16" t="s">
        <v>12</v>
      </c>
      <c r="D16" t="s">
        <v>13</v>
      </c>
      <c r="E16">
        <v>2</v>
      </c>
      <c r="F16">
        <v>20</v>
      </c>
    </row>
    <row r="17" spans="1:9" x14ac:dyDescent="0.3">
      <c r="A17" t="s">
        <v>41</v>
      </c>
      <c r="B17" t="s">
        <v>42</v>
      </c>
      <c r="C17" t="s">
        <v>8</v>
      </c>
      <c r="D17" t="s">
        <v>13</v>
      </c>
      <c r="E17">
        <v>2</v>
      </c>
      <c r="F17">
        <v>20</v>
      </c>
    </row>
    <row r="18" spans="1:9" x14ac:dyDescent="0.3">
      <c r="A18" t="s">
        <v>43</v>
      </c>
      <c r="B18" t="s">
        <v>44</v>
      </c>
      <c r="C18" t="s">
        <v>12</v>
      </c>
      <c r="D18" t="s">
        <v>13</v>
      </c>
      <c r="E18">
        <v>2</v>
      </c>
      <c r="F18">
        <v>22</v>
      </c>
      <c r="I18">
        <f>SUBTOTAL(103, A2:A51)</f>
        <v>50</v>
      </c>
    </row>
    <row r="19" spans="1:9" x14ac:dyDescent="0.3">
      <c r="A19" t="s">
        <v>45</v>
      </c>
      <c r="B19" t="s">
        <v>46</v>
      </c>
      <c r="C19" t="s">
        <v>12</v>
      </c>
      <c r="D19" t="s">
        <v>20</v>
      </c>
      <c r="E19">
        <v>2</v>
      </c>
      <c r="F19">
        <v>23</v>
      </c>
    </row>
    <row r="20" spans="1:9" x14ac:dyDescent="0.3">
      <c r="A20" t="s">
        <v>47</v>
      </c>
      <c r="B20" t="s">
        <v>48</v>
      </c>
      <c r="C20" t="s">
        <v>12</v>
      </c>
      <c r="D20" t="s">
        <v>13</v>
      </c>
      <c r="E20">
        <v>2</v>
      </c>
      <c r="F20">
        <v>21</v>
      </c>
    </row>
    <row r="21" spans="1:9" x14ac:dyDescent="0.3">
      <c r="A21" t="s">
        <v>49</v>
      </c>
      <c r="B21" t="s">
        <v>50</v>
      </c>
      <c r="C21" t="s">
        <v>8</v>
      </c>
      <c r="D21" t="s">
        <v>20</v>
      </c>
      <c r="E21">
        <v>2</v>
      </c>
      <c r="F21">
        <v>19</v>
      </c>
    </row>
    <row r="22" spans="1:9" x14ac:dyDescent="0.3">
      <c r="A22" t="s">
        <v>51</v>
      </c>
      <c r="B22" t="s">
        <v>52</v>
      </c>
      <c r="C22" t="s">
        <v>12</v>
      </c>
      <c r="D22" t="s">
        <v>13</v>
      </c>
      <c r="E22">
        <v>3</v>
      </c>
      <c r="F22">
        <v>22</v>
      </c>
    </row>
    <row r="23" spans="1:9" x14ac:dyDescent="0.3">
      <c r="A23" t="s">
        <v>53</v>
      </c>
      <c r="B23" t="s">
        <v>54</v>
      </c>
      <c r="C23" t="s">
        <v>8</v>
      </c>
      <c r="D23" t="s">
        <v>9</v>
      </c>
      <c r="E23">
        <v>2</v>
      </c>
      <c r="F23">
        <v>23</v>
      </c>
    </row>
    <row r="24" spans="1:9" x14ac:dyDescent="0.3">
      <c r="A24" t="s">
        <v>55</v>
      </c>
      <c r="B24" t="s">
        <v>56</v>
      </c>
      <c r="C24" t="s">
        <v>12</v>
      </c>
      <c r="D24" t="s">
        <v>9</v>
      </c>
      <c r="E24">
        <v>3</v>
      </c>
      <c r="F24">
        <v>22</v>
      </c>
    </row>
    <row r="25" spans="1:9" x14ac:dyDescent="0.3">
      <c r="A25" t="s">
        <v>57</v>
      </c>
      <c r="B25" t="s">
        <v>58</v>
      </c>
      <c r="C25" t="s">
        <v>12</v>
      </c>
      <c r="D25" t="s">
        <v>20</v>
      </c>
      <c r="E25">
        <v>3</v>
      </c>
      <c r="F25">
        <v>23</v>
      </c>
    </row>
    <row r="26" spans="1:9" x14ac:dyDescent="0.3">
      <c r="A26" t="s">
        <v>59</v>
      </c>
      <c r="B26" t="s">
        <v>60</v>
      </c>
      <c r="C26" t="s">
        <v>12</v>
      </c>
      <c r="D26" t="s">
        <v>9</v>
      </c>
      <c r="E26">
        <v>3</v>
      </c>
      <c r="F26">
        <v>23</v>
      </c>
    </row>
    <row r="27" spans="1:9" x14ac:dyDescent="0.3">
      <c r="A27" t="s">
        <v>61</v>
      </c>
      <c r="B27" t="s">
        <v>62</v>
      </c>
      <c r="C27" t="s">
        <v>12</v>
      </c>
      <c r="D27" t="s">
        <v>9</v>
      </c>
      <c r="E27">
        <v>2</v>
      </c>
      <c r="F27">
        <v>21</v>
      </c>
    </row>
    <row r="28" spans="1:9" x14ac:dyDescent="0.3">
      <c r="A28" t="s">
        <v>63</v>
      </c>
      <c r="B28" t="s">
        <v>64</v>
      </c>
      <c r="C28" t="s">
        <v>12</v>
      </c>
      <c r="D28" t="s">
        <v>13</v>
      </c>
      <c r="E28">
        <v>2</v>
      </c>
      <c r="F28">
        <v>23</v>
      </c>
    </row>
    <row r="29" spans="1:9" x14ac:dyDescent="0.3">
      <c r="A29" t="s">
        <v>65</v>
      </c>
      <c r="B29" t="s">
        <v>66</v>
      </c>
      <c r="C29" t="s">
        <v>12</v>
      </c>
      <c r="D29" t="s">
        <v>20</v>
      </c>
      <c r="E29">
        <v>2</v>
      </c>
      <c r="F29">
        <v>22</v>
      </c>
    </row>
    <row r="30" spans="1:9" x14ac:dyDescent="0.3">
      <c r="A30" t="s">
        <v>67</v>
      </c>
      <c r="B30" t="s">
        <v>68</v>
      </c>
      <c r="C30" t="s">
        <v>12</v>
      </c>
      <c r="D30" t="s">
        <v>13</v>
      </c>
      <c r="E30">
        <v>2</v>
      </c>
      <c r="F30">
        <v>23</v>
      </c>
    </row>
    <row r="31" spans="1:9" x14ac:dyDescent="0.3">
      <c r="A31" t="s">
        <v>69</v>
      </c>
      <c r="B31" t="s">
        <v>70</v>
      </c>
      <c r="C31" t="s">
        <v>12</v>
      </c>
      <c r="D31" t="s">
        <v>13</v>
      </c>
      <c r="E31">
        <v>3</v>
      </c>
      <c r="F31">
        <v>21</v>
      </c>
    </row>
    <row r="32" spans="1:9" x14ac:dyDescent="0.3">
      <c r="A32" t="s">
        <v>71</v>
      </c>
      <c r="B32" t="s">
        <v>72</v>
      </c>
      <c r="C32" t="s">
        <v>8</v>
      </c>
      <c r="D32" t="s">
        <v>13</v>
      </c>
      <c r="E32">
        <v>2</v>
      </c>
      <c r="F32">
        <v>21</v>
      </c>
    </row>
    <row r="33" spans="1:6" x14ac:dyDescent="0.3">
      <c r="A33" t="s">
        <v>73</v>
      </c>
      <c r="B33" t="s">
        <v>74</v>
      </c>
      <c r="C33" t="s">
        <v>8</v>
      </c>
      <c r="D33" t="s">
        <v>13</v>
      </c>
      <c r="E33">
        <v>2</v>
      </c>
      <c r="F33">
        <v>22</v>
      </c>
    </row>
    <row r="34" spans="1:6" x14ac:dyDescent="0.3">
      <c r="A34" t="s">
        <v>75</v>
      </c>
      <c r="B34" t="s">
        <v>76</v>
      </c>
      <c r="C34" t="s">
        <v>12</v>
      </c>
      <c r="D34" t="s">
        <v>13</v>
      </c>
      <c r="E34">
        <v>2</v>
      </c>
      <c r="F34">
        <v>20</v>
      </c>
    </row>
    <row r="35" spans="1:6" x14ac:dyDescent="0.3">
      <c r="A35" t="s">
        <v>77</v>
      </c>
      <c r="B35" t="s">
        <v>78</v>
      </c>
      <c r="C35" t="s">
        <v>12</v>
      </c>
      <c r="D35" t="s">
        <v>13</v>
      </c>
      <c r="E35">
        <v>2</v>
      </c>
      <c r="F35">
        <v>20</v>
      </c>
    </row>
    <row r="36" spans="1:6" x14ac:dyDescent="0.3">
      <c r="A36" t="s">
        <v>79</v>
      </c>
      <c r="B36" t="s">
        <v>80</v>
      </c>
      <c r="C36" t="s">
        <v>12</v>
      </c>
      <c r="D36" t="s">
        <v>13</v>
      </c>
      <c r="E36">
        <v>2</v>
      </c>
      <c r="F36">
        <v>23</v>
      </c>
    </row>
    <row r="37" spans="1:6" x14ac:dyDescent="0.3">
      <c r="A37" t="s">
        <v>81</v>
      </c>
      <c r="B37" t="s">
        <v>82</v>
      </c>
      <c r="C37" t="s">
        <v>8</v>
      </c>
      <c r="D37" t="s">
        <v>20</v>
      </c>
      <c r="E37">
        <v>3</v>
      </c>
      <c r="F37">
        <v>19</v>
      </c>
    </row>
    <row r="38" spans="1:6" x14ac:dyDescent="0.3">
      <c r="A38" t="s">
        <v>83</v>
      </c>
      <c r="B38" t="s">
        <v>84</v>
      </c>
      <c r="C38" t="s">
        <v>12</v>
      </c>
      <c r="D38" t="s">
        <v>9</v>
      </c>
      <c r="E38">
        <v>2</v>
      </c>
      <c r="F38">
        <v>23</v>
      </c>
    </row>
    <row r="39" spans="1:6" x14ac:dyDescent="0.3">
      <c r="A39" t="s">
        <v>85</v>
      </c>
      <c r="B39" t="s">
        <v>86</v>
      </c>
      <c r="C39" t="s">
        <v>8</v>
      </c>
      <c r="D39" t="s">
        <v>13</v>
      </c>
      <c r="E39">
        <v>3</v>
      </c>
      <c r="F39">
        <v>22</v>
      </c>
    </row>
    <row r="40" spans="1:6" x14ac:dyDescent="0.3">
      <c r="A40" t="s">
        <v>87</v>
      </c>
      <c r="B40" t="s">
        <v>88</v>
      </c>
      <c r="C40" t="s">
        <v>8</v>
      </c>
      <c r="D40" t="s">
        <v>13</v>
      </c>
      <c r="E40">
        <v>2</v>
      </c>
      <c r="F40">
        <v>22</v>
      </c>
    </row>
    <row r="41" spans="1:6" x14ac:dyDescent="0.3">
      <c r="A41" t="s">
        <v>89</v>
      </c>
      <c r="B41" t="s">
        <v>90</v>
      </c>
      <c r="C41" t="s">
        <v>8</v>
      </c>
      <c r="D41" t="s">
        <v>13</v>
      </c>
      <c r="E41">
        <v>3</v>
      </c>
      <c r="F41">
        <v>22</v>
      </c>
    </row>
    <row r="42" spans="1:6" x14ac:dyDescent="0.3">
      <c r="A42" t="s">
        <v>91</v>
      </c>
      <c r="B42" t="s">
        <v>92</v>
      </c>
      <c r="C42" t="s">
        <v>8</v>
      </c>
      <c r="D42" t="s">
        <v>13</v>
      </c>
      <c r="E42">
        <v>2</v>
      </c>
      <c r="F42">
        <v>22</v>
      </c>
    </row>
    <row r="43" spans="1:6" x14ac:dyDescent="0.3">
      <c r="A43" t="s">
        <v>93</v>
      </c>
      <c r="B43" t="s">
        <v>94</v>
      </c>
      <c r="C43" t="s">
        <v>8</v>
      </c>
      <c r="D43" t="s">
        <v>13</v>
      </c>
      <c r="E43">
        <v>2</v>
      </c>
      <c r="F43">
        <v>22</v>
      </c>
    </row>
    <row r="44" spans="1:6" x14ac:dyDescent="0.3">
      <c r="A44" t="s">
        <v>95</v>
      </c>
      <c r="B44" t="s">
        <v>96</v>
      </c>
      <c r="C44" t="s">
        <v>12</v>
      </c>
      <c r="D44" t="s">
        <v>13</v>
      </c>
      <c r="E44">
        <v>3</v>
      </c>
      <c r="F44">
        <v>21</v>
      </c>
    </row>
    <row r="45" spans="1:6" x14ac:dyDescent="0.3">
      <c r="A45" t="s">
        <v>97</v>
      </c>
      <c r="B45" t="s">
        <v>98</v>
      </c>
      <c r="C45" t="s">
        <v>12</v>
      </c>
      <c r="D45" t="s">
        <v>9</v>
      </c>
      <c r="E45">
        <v>3</v>
      </c>
      <c r="F45">
        <v>20</v>
      </c>
    </row>
    <row r="46" spans="1:6" x14ac:dyDescent="0.3">
      <c r="A46" t="s">
        <v>99</v>
      </c>
      <c r="B46" t="s">
        <v>100</v>
      </c>
      <c r="C46" t="s">
        <v>12</v>
      </c>
      <c r="D46" t="s">
        <v>9</v>
      </c>
      <c r="E46">
        <v>3</v>
      </c>
      <c r="F46">
        <v>22</v>
      </c>
    </row>
    <row r="47" spans="1:6" x14ac:dyDescent="0.3">
      <c r="A47" t="s">
        <v>101</v>
      </c>
      <c r="B47" t="s">
        <v>102</v>
      </c>
      <c r="C47" t="s">
        <v>12</v>
      </c>
      <c r="D47" t="s">
        <v>13</v>
      </c>
      <c r="E47">
        <v>2</v>
      </c>
      <c r="F47">
        <v>19</v>
      </c>
    </row>
    <row r="48" spans="1:6" x14ac:dyDescent="0.3">
      <c r="A48" t="s">
        <v>103</v>
      </c>
      <c r="B48" t="s">
        <v>104</v>
      </c>
      <c r="C48" t="s">
        <v>12</v>
      </c>
      <c r="D48" t="s">
        <v>9</v>
      </c>
      <c r="E48">
        <v>3</v>
      </c>
      <c r="F48">
        <v>19</v>
      </c>
    </row>
    <row r="49" spans="1:6" x14ac:dyDescent="0.3">
      <c r="A49" t="s">
        <v>105</v>
      </c>
      <c r="B49" t="s">
        <v>106</v>
      </c>
      <c r="C49" t="s">
        <v>8</v>
      </c>
      <c r="D49" t="s">
        <v>20</v>
      </c>
      <c r="E49">
        <v>2</v>
      </c>
      <c r="F49">
        <v>19</v>
      </c>
    </row>
    <row r="50" spans="1:6" x14ac:dyDescent="0.3">
      <c r="A50" t="s">
        <v>107</v>
      </c>
      <c r="B50" t="s">
        <v>108</v>
      </c>
      <c r="C50" t="s">
        <v>12</v>
      </c>
      <c r="D50" t="s">
        <v>13</v>
      </c>
      <c r="E50">
        <v>2</v>
      </c>
      <c r="F50">
        <v>19</v>
      </c>
    </row>
    <row r="51" spans="1:6" x14ac:dyDescent="0.3">
      <c r="A51" t="s">
        <v>109</v>
      </c>
      <c r="B51" t="s">
        <v>110</v>
      </c>
      <c r="C51" t="s">
        <v>12</v>
      </c>
      <c r="D51" t="s">
        <v>20</v>
      </c>
      <c r="E51">
        <v>3</v>
      </c>
      <c r="F51">
        <v>21</v>
      </c>
    </row>
  </sheetData>
  <autoFilter ref="A1:F5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1"/>
  <sheetViews>
    <sheetView workbookViewId="0">
      <selection activeCell="O25" sqref="O25"/>
    </sheetView>
  </sheetViews>
  <sheetFormatPr defaultRowHeight="14.4" x14ac:dyDescent="0.3"/>
  <cols>
    <col min="1" max="1" width="14.6640625" customWidth="1"/>
    <col min="2" max="2" width="14.5546875" customWidth="1"/>
    <col min="3" max="3" width="11.109375" customWidth="1"/>
    <col min="4" max="4" width="15.21875" customWidth="1"/>
    <col min="5" max="5" width="12.6640625" customWidth="1"/>
  </cols>
  <sheetData>
    <row r="1" spans="1:12" x14ac:dyDescent="0.3">
      <c r="A1" s="1" t="s">
        <v>0</v>
      </c>
      <c r="B1" s="1" t="s">
        <v>111</v>
      </c>
      <c r="C1" s="1" t="s">
        <v>112</v>
      </c>
      <c r="D1" s="1" t="s">
        <v>113</v>
      </c>
      <c r="E1" s="1" t="s">
        <v>114</v>
      </c>
    </row>
    <row r="2" spans="1:12" x14ac:dyDescent="0.3">
      <c r="A2" t="s">
        <v>6</v>
      </c>
      <c r="B2">
        <v>5</v>
      </c>
      <c r="C2">
        <v>8.41</v>
      </c>
      <c r="D2">
        <v>77</v>
      </c>
      <c r="E2">
        <v>0</v>
      </c>
      <c r="I2">
        <f>SUBTOTAL(103, A2:A51)</f>
        <v>50</v>
      </c>
    </row>
    <row r="3" spans="1:12" x14ac:dyDescent="0.3">
      <c r="A3" t="s">
        <v>10</v>
      </c>
      <c r="B3">
        <v>4</v>
      </c>
      <c r="C3">
        <v>6.97</v>
      </c>
      <c r="D3">
        <v>61</v>
      </c>
      <c r="E3">
        <v>0</v>
      </c>
      <c r="I3">
        <f>SUBTOTAL(103,A2,A51)</f>
        <v>2</v>
      </c>
    </row>
    <row r="4" spans="1:12" x14ac:dyDescent="0.3">
      <c r="A4" t="s">
        <v>14</v>
      </c>
      <c r="B4">
        <v>4</v>
      </c>
      <c r="C4">
        <v>8.0299999999999994</v>
      </c>
      <c r="D4">
        <v>94</v>
      </c>
      <c r="E4">
        <v>0</v>
      </c>
    </row>
    <row r="5" spans="1:12" x14ac:dyDescent="0.3">
      <c r="A5" t="s">
        <v>16</v>
      </c>
      <c r="B5">
        <v>4</v>
      </c>
      <c r="C5">
        <v>8.0299999999999994</v>
      </c>
      <c r="D5">
        <v>75</v>
      </c>
      <c r="E5">
        <v>0</v>
      </c>
    </row>
    <row r="6" spans="1:12" x14ac:dyDescent="0.3">
      <c r="A6" t="s">
        <v>18</v>
      </c>
      <c r="B6">
        <v>6</v>
      </c>
      <c r="C6">
        <v>7.64</v>
      </c>
      <c r="D6">
        <v>95</v>
      </c>
      <c r="E6">
        <v>0</v>
      </c>
    </row>
    <row r="7" spans="1:12" x14ac:dyDescent="0.3">
      <c r="A7" t="s">
        <v>21</v>
      </c>
      <c r="B7">
        <v>6</v>
      </c>
      <c r="C7">
        <v>5.86</v>
      </c>
      <c r="D7">
        <v>92</v>
      </c>
      <c r="E7">
        <v>0</v>
      </c>
      <c r="K7">
        <f>SUBTOTAL(103,A:A)</f>
        <v>51</v>
      </c>
      <c r="L7">
        <f>SUBTOTAL(103,A2:A51)</f>
        <v>50</v>
      </c>
    </row>
    <row r="8" spans="1:12" x14ac:dyDescent="0.3">
      <c r="A8" t="s">
        <v>23</v>
      </c>
      <c r="B8">
        <v>5</v>
      </c>
      <c r="C8">
        <v>8.84</v>
      </c>
      <c r="D8">
        <v>63</v>
      </c>
      <c r="E8">
        <v>0</v>
      </c>
      <c r="I8">
        <f>SUBTOTAL(103, A2:A51)</f>
        <v>50</v>
      </c>
    </row>
    <row r="9" spans="1:12" x14ac:dyDescent="0.3">
      <c r="A9" t="s">
        <v>25</v>
      </c>
      <c r="B9">
        <v>6</v>
      </c>
      <c r="C9">
        <v>6.78</v>
      </c>
      <c r="D9">
        <v>92</v>
      </c>
      <c r="E9">
        <v>0</v>
      </c>
    </row>
    <row r="10" spans="1:12" x14ac:dyDescent="0.3">
      <c r="A10" t="s">
        <v>27</v>
      </c>
      <c r="B10">
        <v>4</v>
      </c>
      <c r="C10">
        <v>6.25</v>
      </c>
      <c r="D10">
        <v>73</v>
      </c>
      <c r="E10">
        <v>0</v>
      </c>
    </row>
    <row r="11" spans="1:12" x14ac:dyDescent="0.3">
      <c r="A11" t="s">
        <v>29</v>
      </c>
      <c r="B11">
        <v>5</v>
      </c>
      <c r="C11">
        <v>5.66</v>
      </c>
      <c r="D11">
        <v>80</v>
      </c>
      <c r="E11">
        <v>0</v>
      </c>
    </row>
    <row r="12" spans="1:12" x14ac:dyDescent="0.3">
      <c r="A12" t="s">
        <v>31</v>
      </c>
      <c r="B12">
        <v>4</v>
      </c>
      <c r="C12">
        <v>7.86</v>
      </c>
      <c r="D12">
        <v>79</v>
      </c>
      <c r="E12">
        <v>0</v>
      </c>
      <c r="J12">
        <f>SUBTOTAL(103, A2:A51)</f>
        <v>50</v>
      </c>
    </row>
    <row r="13" spans="1:12" x14ac:dyDescent="0.3">
      <c r="A13" t="s">
        <v>33</v>
      </c>
      <c r="B13">
        <v>4</v>
      </c>
      <c r="C13">
        <v>8.2100000000000009</v>
      </c>
      <c r="D13">
        <v>67</v>
      </c>
      <c r="E13">
        <v>0</v>
      </c>
    </row>
    <row r="14" spans="1:12" x14ac:dyDescent="0.3">
      <c r="A14" t="s">
        <v>35</v>
      </c>
      <c r="B14">
        <v>6</v>
      </c>
      <c r="C14">
        <v>5.57</v>
      </c>
      <c r="D14">
        <v>66</v>
      </c>
      <c r="E14">
        <v>0</v>
      </c>
    </row>
    <row r="15" spans="1:12" x14ac:dyDescent="0.3">
      <c r="A15" t="s">
        <v>37</v>
      </c>
      <c r="B15">
        <v>5</v>
      </c>
      <c r="C15">
        <v>7.55</v>
      </c>
      <c r="D15">
        <v>62</v>
      </c>
      <c r="E15">
        <v>0</v>
      </c>
    </row>
    <row r="16" spans="1:12" x14ac:dyDescent="0.3">
      <c r="A16" t="s">
        <v>39</v>
      </c>
      <c r="B16">
        <v>6</v>
      </c>
      <c r="C16">
        <v>6.41</v>
      </c>
      <c r="D16">
        <v>76</v>
      </c>
      <c r="E16">
        <v>0</v>
      </c>
    </row>
    <row r="17" spans="1:9" x14ac:dyDescent="0.3">
      <c r="A17" t="s">
        <v>41</v>
      </c>
      <c r="B17">
        <v>6</v>
      </c>
      <c r="C17">
        <v>8.08</v>
      </c>
      <c r="D17">
        <v>92</v>
      </c>
      <c r="E17">
        <v>0</v>
      </c>
    </row>
    <row r="18" spans="1:9" x14ac:dyDescent="0.3">
      <c r="A18" t="s">
        <v>43</v>
      </c>
      <c r="B18">
        <v>5</v>
      </c>
      <c r="C18">
        <v>6.2</v>
      </c>
      <c r="D18">
        <v>71</v>
      </c>
      <c r="E18">
        <v>0</v>
      </c>
    </row>
    <row r="19" spans="1:9" x14ac:dyDescent="0.3">
      <c r="A19" t="s">
        <v>45</v>
      </c>
      <c r="B19">
        <v>4</v>
      </c>
      <c r="C19">
        <v>8.26</v>
      </c>
      <c r="D19">
        <v>81</v>
      </c>
      <c r="E19">
        <v>2</v>
      </c>
    </row>
    <row r="20" spans="1:9" x14ac:dyDescent="0.3">
      <c r="A20" t="s">
        <v>47</v>
      </c>
      <c r="B20">
        <v>4</v>
      </c>
      <c r="C20">
        <v>7.05</v>
      </c>
      <c r="D20">
        <v>81</v>
      </c>
      <c r="E20">
        <v>0</v>
      </c>
    </row>
    <row r="21" spans="1:9" x14ac:dyDescent="0.3">
      <c r="A21" t="s">
        <v>49</v>
      </c>
      <c r="B21">
        <v>5</v>
      </c>
      <c r="C21">
        <v>9.25</v>
      </c>
      <c r="D21">
        <v>89</v>
      </c>
      <c r="E21">
        <v>0</v>
      </c>
    </row>
    <row r="22" spans="1:9" x14ac:dyDescent="0.3">
      <c r="A22" t="s">
        <v>51</v>
      </c>
      <c r="B22">
        <v>4</v>
      </c>
      <c r="C22">
        <v>6.05</v>
      </c>
      <c r="D22">
        <v>97</v>
      </c>
      <c r="E22">
        <v>0</v>
      </c>
    </row>
    <row r="23" spans="1:9" x14ac:dyDescent="0.3">
      <c r="A23" t="s">
        <v>53</v>
      </c>
      <c r="B23">
        <v>5</v>
      </c>
      <c r="C23">
        <v>6.86</v>
      </c>
      <c r="D23">
        <v>97</v>
      </c>
      <c r="E23">
        <v>0</v>
      </c>
    </row>
    <row r="24" spans="1:9" x14ac:dyDescent="0.3">
      <c r="A24" t="s">
        <v>55</v>
      </c>
      <c r="B24">
        <v>5</v>
      </c>
      <c r="C24">
        <v>5.95</v>
      </c>
      <c r="D24">
        <v>67</v>
      </c>
      <c r="E24">
        <v>0</v>
      </c>
    </row>
    <row r="25" spans="1:9" x14ac:dyDescent="0.3">
      <c r="A25" t="s">
        <v>57</v>
      </c>
      <c r="B25">
        <v>6</v>
      </c>
      <c r="C25">
        <v>9.1999999999999993</v>
      </c>
      <c r="D25">
        <v>86</v>
      </c>
      <c r="E25">
        <v>2</v>
      </c>
      <c r="I25">
        <f>SUBTOTAL(103, A2:A51)</f>
        <v>50</v>
      </c>
    </row>
    <row r="26" spans="1:9" x14ac:dyDescent="0.3">
      <c r="A26" t="s">
        <v>59</v>
      </c>
      <c r="B26">
        <v>5</v>
      </c>
      <c r="C26">
        <v>9.01</v>
      </c>
      <c r="D26">
        <v>86</v>
      </c>
      <c r="E26">
        <v>1</v>
      </c>
      <c r="I26">
        <f>SUBTOTAL(103, A2:A51)</f>
        <v>50</v>
      </c>
    </row>
    <row r="27" spans="1:9" x14ac:dyDescent="0.3">
      <c r="A27" t="s">
        <v>61</v>
      </c>
      <c r="B27">
        <v>6</v>
      </c>
      <c r="C27">
        <v>6.53</v>
      </c>
      <c r="D27">
        <v>93</v>
      </c>
      <c r="E27">
        <v>0</v>
      </c>
    </row>
    <row r="28" spans="1:9" x14ac:dyDescent="0.3">
      <c r="A28" t="s">
        <v>63</v>
      </c>
      <c r="B28">
        <v>4</v>
      </c>
      <c r="C28">
        <v>8.14</v>
      </c>
      <c r="D28">
        <v>80</v>
      </c>
      <c r="E28">
        <v>0</v>
      </c>
    </row>
    <row r="29" spans="1:9" x14ac:dyDescent="0.3">
      <c r="A29" t="s">
        <v>65</v>
      </c>
      <c r="B29">
        <v>4</v>
      </c>
      <c r="C29">
        <v>8.77</v>
      </c>
      <c r="D29">
        <v>89</v>
      </c>
      <c r="E29">
        <v>1</v>
      </c>
    </row>
    <row r="30" spans="1:9" x14ac:dyDescent="0.3">
      <c r="A30" t="s">
        <v>67</v>
      </c>
      <c r="B30">
        <v>4</v>
      </c>
      <c r="C30">
        <v>7.72</v>
      </c>
      <c r="D30">
        <v>92</v>
      </c>
      <c r="E30">
        <v>2</v>
      </c>
    </row>
    <row r="31" spans="1:9" x14ac:dyDescent="0.3">
      <c r="A31" t="s">
        <v>69</v>
      </c>
      <c r="B31">
        <v>4</v>
      </c>
      <c r="C31">
        <v>7.62</v>
      </c>
      <c r="D31">
        <v>87</v>
      </c>
      <c r="E31">
        <v>1</v>
      </c>
    </row>
    <row r="32" spans="1:9" x14ac:dyDescent="0.3">
      <c r="A32" t="s">
        <v>71</v>
      </c>
      <c r="B32">
        <v>6</v>
      </c>
      <c r="C32">
        <v>6.47</v>
      </c>
      <c r="D32">
        <v>92</v>
      </c>
      <c r="E32">
        <v>0</v>
      </c>
    </row>
    <row r="33" spans="1:5" x14ac:dyDescent="0.3">
      <c r="A33" t="s">
        <v>73</v>
      </c>
      <c r="B33">
        <v>4</v>
      </c>
      <c r="C33">
        <v>5.87</v>
      </c>
      <c r="D33">
        <v>64</v>
      </c>
      <c r="E33">
        <v>1</v>
      </c>
    </row>
    <row r="34" spans="1:5" x14ac:dyDescent="0.3">
      <c r="A34" t="s">
        <v>75</v>
      </c>
      <c r="B34">
        <v>5</v>
      </c>
      <c r="C34">
        <v>9.09</v>
      </c>
      <c r="D34">
        <v>78</v>
      </c>
      <c r="E34">
        <v>0</v>
      </c>
    </row>
    <row r="35" spans="1:5" x14ac:dyDescent="0.3">
      <c r="A35" t="s">
        <v>77</v>
      </c>
      <c r="B35">
        <v>5</v>
      </c>
      <c r="C35">
        <v>9.1</v>
      </c>
      <c r="D35">
        <v>63</v>
      </c>
      <c r="E35">
        <v>1</v>
      </c>
    </row>
    <row r="36" spans="1:5" x14ac:dyDescent="0.3">
      <c r="A36" t="s">
        <v>79</v>
      </c>
      <c r="B36">
        <v>5</v>
      </c>
      <c r="C36">
        <v>8.0299999999999994</v>
      </c>
      <c r="D36">
        <v>94</v>
      </c>
      <c r="E36">
        <v>0</v>
      </c>
    </row>
    <row r="37" spans="1:5" x14ac:dyDescent="0.3">
      <c r="A37" t="s">
        <v>81</v>
      </c>
      <c r="B37">
        <v>6</v>
      </c>
      <c r="C37">
        <v>6.86</v>
      </c>
      <c r="D37">
        <v>76</v>
      </c>
      <c r="E37">
        <v>0</v>
      </c>
    </row>
    <row r="38" spans="1:5" x14ac:dyDescent="0.3">
      <c r="A38" t="s">
        <v>83</v>
      </c>
      <c r="B38">
        <v>4</v>
      </c>
      <c r="C38">
        <v>6.9</v>
      </c>
      <c r="D38">
        <v>87</v>
      </c>
      <c r="E38">
        <v>0</v>
      </c>
    </row>
    <row r="39" spans="1:5" x14ac:dyDescent="0.3">
      <c r="A39" t="s">
        <v>85</v>
      </c>
      <c r="B39">
        <v>4</v>
      </c>
      <c r="C39">
        <v>8.4</v>
      </c>
      <c r="D39">
        <v>89</v>
      </c>
      <c r="E39">
        <v>0</v>
      </c>
    </row>
    <row r="40" spans="1:5" x14ac:dyDescent="0.3">
      <c r="A40" t="s">
        <v>87</v>
      </c>
      <c r="B40">
        <v>4</v>
      </c>
      <c r="C40">
        <v>9.09</v>
      </c>
      <c r="D40">
        <v>88</v>
      </c>
      <c r="E40">
        <v>0</v>
      </c>
    </row>
    <row r="41" spans="1:5" x14ac:dyDescent="0.3">
      <c r="A41" t="s">
        <v>89</v>
      </c>
      <c r="B41">
        <v>6</v>
      </c>
      <c r="C41">
        <v>9.0500000000000007</v>
      </c>
      <c r="D41">
        <v>65</v>
      </c>
      <c r="E41">
        <v>2</v>
      </c>
    </row>
    <row r="42" spans="1:5" x14ac:dyDescent="0.3">
      <c r="A42" t="s">
        <v>91</v>
      </c>
      <c r="B42">
        <v>5</v>
      </c>
      <c r="C42">
        <v>8.6199999999999992</v>
      </c>
      <c r="D42">
        <v>94</v>
      </c>
      <c r="E42">
        <v>0</v>
      </c>
    </row>
    <row r="43" spans="1:5" x14ac:dyDescent="0.3">
      <c r="A43" t="s">
        <v>93</v>
      </c>
      <c r="B43">
        <v>5</v>
      </c>
      <c r="C43">
        <v>8.07</v>
      </c>
      <c r="D43">
        <v>96</v>
      </c>
      <c r="E43">
        <v>0</v>
      </c>
    </row>
    <row r="44" spans="1:5" x14ac:dyDescent="0.3">
      <c r="A44" t="s">
        <v>95</v>
      </c>
      <c r="B44">
        <v>4</v>
      </c>
      <c r="C44">
        <v>5.84</v>
      </c>
      <c r="D44">
        <v>83</v>
      </c>
      <c r="E44">
        <v>0</v>
      </c>
    </row>
    <row r="45" spans="1:5" x14ac:dyDescent="0.3">
      <c r="A45" t="s">
        <v>97</v>
      </c>
      <c r="B45">
        <v>5</v>
      </c>
      <c r="C45">
        <v>6.15</v>
      </c>
      <c r="D45">
        <v>88</v>
      </c>
      <c r="E45">
        <v>1</v>
      </c>
    </row>
    <row r="46" spans="1:5" x14ac:dyDescent="0.3">
      <c r="A46" t="s">
        <v>99</v>
      </c>
      <c r="B46">
        <v>5</v>
      </c>
      <c r="C46">
        <v>9.09</v>
      </c>
      <c r="D46">
        <v>90</v>
      </c>
      <c r="E46">
        <v>0</v>
      </c>
    </row>
    <row r="47" spans="1:5" x14ac:dyDescent="0.3">
      <c r="A47" t="s">
        <v>101</v>
      </c>
      <c r="B47">
        <v>6</v>
      </c>
      <c r="C47">
        <v>7.93</v>
      </c>
      <c r="D47">
        <v>94</v>
      </c>
      <c r="E47">
        <v>0</v>
      </c>
    </row>
    <row r="48" spans="1:5" x14ac:dyDescent="0.3">
      <c r="A48" t="s">
        <v>103</v>
      </c>
      <c r="B48">
        <v>6</v>
      </c>
      <c r="C48">
        <v>5.54</v>
      </c>
      <c r="D48">
        <v>92</v>
      </c>
      <c r="E48">
        <v>1</v>
      </c>
    </row>
    <row r="49" spans="1:5" x14ac:dyDescent="0.3">
      <c r="A49" t="s">
        <v>105</v>
      </c>
      <c r="B49">
        <v>6</v>
      </c>
      <c r="C49">
        <v>5.91</v>
      </c>
      <c r="D49">
        <v>80</v>
      </c>
      <c r="E49">
        <v>2</v>
      </c>
    </row>
    <row r="50" spans="1:5" x14ac:dyDescent="0.3">
      <c r="A50" t="s">
        <v>107</v>
      </c>
      <c r="B50">
        <v>6</v>
      </c>
      <c r="C50">
        <v>8.15</v>
      </c>
      <c r="D50">
        <v>91</v>
      </c>
      <c r="E50">
        <v>0</v>
      </c>
    </row>
    <row r="51" spans="1:5" x14ac:dyDescent="0.3">
      <c r="A51" t="s">
        <v>109</v>
      </c>
      <c r="B51">
        <v>4</v>
      </c>
      <c r="C51">
        <v>5.52</v>
      </c>
      <c r="D51">
        <v>82</v>
      </c>
      <c r="E51">
        <v>2</v>
      </c>
    </row>
  </sheetData>
  <autoFilter ref="A1:E51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1"/>
  <sheetViews>
    <sheetView workbookViewId="0">
      <selection activeCell="H12" sqref="H12"/>
    </sheetView>
  </sheetViews>
  <sheetFormatPr defaultRowHeight="14.4" x14ac:dyDescent="0.3"/>
  <cols>
    <col min="2" max="2" width="11.5546875" customWidth="1"/>
    <col min="3" max="3" width="12.33203125" customWidth="1"/>
    <col min="4" max="4" width="12.21875" customWidth="1"/>
    <col min="5" max="5" width="11.21875" customWidth="1"/>
    <col min="6" max="6" width="14.44140625" customWidth="1"/>
  </cols>
  <sheetData>
    <row r="1" spans="1:6" x14ac:dyDescent="0.3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  <c r="F1" s="1" t="s">
        <v>119</v>
      </c>
    </row>
    <row r="2" spans="1:6" x14ac:dyDescent="0.3">
      <c r="A2" t="s">
        <v>6</v>
      </c>
      <c r="B2" t="s">
        <v>120</v>
      </c>
      <c r="C2" t="s">
        <v>121</v>
      </c>
      <c r="D2" t="s">
        <v>122</v>
      </c>
      <c r="E2" t="s">
        <v>120</v>
      </c>
      <c r="F2" t="s">
        <v>120</v>
      </c>
    </row>
    <row r="3" spans="1:6" x14ac:dyDescent="0.3">
      <c r="A3" t="s">
        <v>10</v>
      </c>
      <c r="B3" t="s">
        <v>121</v>
      </c>
      <c r="C3" t="s">
        <v>122</v>
      </c>
      <c r="D3" t="s">
        <v>120</v>
      </c>
      <c r="E3" t="s">
        <v>122</v>
      </c>
      <c r="F3" t="s">
        <v>120</v>
      </c>
    </row>
    <row r="4" spans="1:6" x14ac:dyDescent="0.3">
      <c r="A4" t="s">
        <v>14</v>
      </c>
      <c r="B4" t="s">
        <v>120</v>
      </c>
      <c r="C4" t="s">
        <v>122</v>
      </c>
      <c r="D4" t="s">
        <v>120</v>
      </c>
      <c r="E4" t="s">
        <v>120</v>
      </c>
      <c r="F4" t="s">
        <v>120</v>
      </c>
    </row>
    <row r="5" spans="1:6" x14ac:dyDescent="0.3">
      <c r="A5" t="s">
        <v>16</v>
      </c>
      <c r="B5" t="s">
        <v>121</v>
      </c>
      <c r="C5" t="s">
        <v>121</v>
      </c>
      <c r="D5" t="s">
        <v>122</v>
      </c>
      <c r="E5" t="s">
        <v>120</v>
      </c>
      <c r="F5" t="s">
        <v>120</v>
      </c>
    </row>
    <row r="6" spans="1:6" x14ac:dyDescent="0.3">
      <c r="A6" t="s">
        <v>18</v>
      </c>
      <c r="B6" t="s">
        <v>122</v>
      </c>
      <c r="C6" t="s">
        <v>120</v>
      </c>
      <c r="D6" t="s">
        <v>122</v>
      </c>
      <c r="E6" t="s">
        <v>122</v>
      </c>
      <c r="F6" t="s">
        <v>122</v>
      </c>
    </row>
    <row r="7" spans="1:6" x14ac:dyDescent="0.3">
      <c r="A7" t="s">
        <v>21</v>
      </c>
      <c r="B7" t="s">
        <v>120</v>
      </c>
      <c r="C7" t="s">
        <v>120</v>
      </c>
      <c r="D7" t="s">
        <v>120</v>
      </c>
      <c r="E7" t="s">
        <v>120</v>
      </c>
      <c r="F7" t="s">
        <v>120</v>
      </c>
    </row>
    <row r="8" spans="1:6" x14ac:dyDescent="0.3">
      <c r="A8" t="s">
        <v>23</v>
      </c>
      <c r="B8" t="s">
        <v>120</v>
      </c>
      <c r="C8" t="s">
        <v>120</v>
      </c>
      <c r="D8" t="s">
        <v>120</v>
      </c>
      <c r="E8" t="s">
        <v>122</v>
      </c>
      <c r="F8" t="s">
        <v>120</v>
      </c>
    </row>
    <row r="9" spans="1:6" x14ac:dyDescent="0.3">
      <c r="A9" t="s">
        <v>25</v>
      </c>
      <c r="B9" t="s">
        <v>122</v>
      </c>
      <c r="C9" t="s">
        <v>120</v>
      </c>
      <c r="D9" t="s">
        <v>122</v>
      </c>
      <c r="E9" t="s">
        <v>122</v>
      </c>
      <c r="F9" t="s">
        <v>120</v>
      </c>
    </row>
    <row r="10" spans="1:6" x14ac:dyDescent="0.3">
      <c r="A10" t="s">
        <v>27</v>
      </c>
      <c r="B10" t="s">
        <v>122</v>
      </c>
      <c r="C10" t="s">
        <v>121</v>
      </c>
      <c r="D10" t="s">
        <v>122</v>
      </c>
      <c r="E10" t="s">
        <v>120</v>
      </c>
      <c r="F10" t="s">
        <v>120</v>
      </c>
    </row>
    <row r="11" spans="1:6" x14ac:dyDescent="0.3">
      <c r="A11" t="s">
        <v>29</v>
      </c>
      <c r="B11" t="s">
        <v>121</v>
      </c>
      <c r="C11" t="s">
        <v>121</v>
      </c>
      <c r="D11" t="s">
        <v>122</v>
      </c>
      <c r="E11" t="s">
        <v>122</v>
      </c>
      <c r="F11" t="s">
        <v>122</v>
      </c>
    </row>
    <row r="12" spans="1:6" x14ac:dyDescent="0.3">
      <c r="A12" t="s">
        <v>31</v>
      </c>
      <c r="B12" t="s">
        <v>120</v>
      </c>
      <c r="C12" t="s">
        <v>121</v>
      </c>
      <c r="D12" t="s">
        <v>122</v>
      </c>
      <c r="E12" t="s">
        <v>120</v>
      </c>
      <c r="F12" t="s">
        <v>122</v>
      </c>
    </row>
    <row r="13" spans="1:6" x14ac:dyDescent="0.3">
      <c r="A13" t="s">
        <v>33</v>
      </c>
      <c r="B13" t="s">
        <v>122</v>
      </c>
      <c r="C13" t="s">
        <v>120</v>
      </c>
      <c r="D13" t="s">
        <v>121</v>
      </c>
      <c r="E13" t="s">
        <v>120</v>
      </c>
      <c r="F13" t="s">
        <v>123</v>
      </c>
    </row>
    <row r="14" spans="1:6" x14ac:dyDescent="0.3">
      <c r="A14" t="s">
        <v>35</v>
      </c>
      <c r="B14" t="s">
        <v>120</v>
      </c>
      <c r="C14" t="s">
        <v>121</v>
      </c>
      <c r="D14" t="s">
        <v>120</v>
      </c>
      <c r="E14" t="s">
        <v>120</v>
      </c>
      <c r="F14" t="s">
        <v>120</v>
      </c>
    </row>
    <row r="15" spans="1:6" x14ac:dyDescent="0.3">
      <c r="A15" t="s">
        <v>37</v>
      </c>
      <c r="B15" t="s">
        <v>120</v>
      </c>
      <c r="C15" t="s">
        <v>120</v>
      </c>
      <c r="D15" t="s">
        <v>122</v>
      </c>
      <c r="E15" t="s">
        <v>120</v>
      </c>
      <c r="F15" t="s">
        <v>120</v>
      </c>
    </row>
    <row r="16" spans="1:6" x14ac:dyDescent="0.3">
      <c r="A16" t="s">
        <v>39</v>
      </c>
      <c r="B16" t="s">
        <v>120</v>
      </c>
      <c r="C16" t="s">
        <v>120</v>
      </c>
      <c r="D16" t="s">
        <v>121</v>
      </c>
      <c r="E16" t="s">
        <v>120</v>
      </c>
      <c r="F16" t="s">
        <v>123</v>
      </c>
    </row>
    <row r="17" spans="1:6" x14ac:dyDescent="0.3">
      <c r="A17" t="s">
        <v>41</v>
      </c>
      <c r="B17" t="s">
        <v>120</v>
      </c>
      <c r="C17" t="s">
        <v>122</v>
      </c>
      <c r="D17" t="s">
        <v>120</v>
      </c>
      <c r="E17" t="s">
        <v>120</v>
      </c>
      <c r="F17" t="s">
        <v>122</v>
      </c>
    </row>
    <row r="18" spans="1:6" x14ac:dyDescent="0.3">
      <c r="A18" t="s">
        <v>43</v>
      </c>
      <c r="B18" t="s">
        <v>122</v>
      </c>
      <c r="C18" t="s">
        <v>121</v>
      </c>
      <c r="D18" t="s">
        <v>120</v>
      </c>
      <c r="E18" t="s">
        <v>120</v>
      </c>
      <c r="F18" t="s">
        <v>123</v>
      </c>
    </row>
    <row r="19" spans="1:6" x14ac:dyDescent="0.3">
      <c r="A19" t="s">
        <v>45</v>
      </c>
      <c r="B19" t="s">
        <v>122</v>
      </c>
      <c r="C19" t="s">
        <v>121</v>
      </c>
      <c r="D19" t="s">
        <v>120</v>
      </c>
      <c r="E19" t="s">
        <v>122</v>
      </c>
      <c r="F19" t="s">
        <v>120</v>
      </c>
    </row>
    <row r="20" spans="1:6" x14ac:dyDescent="0.3">
      <c r="A20" t="s">
        <v>47</v>
      </c>
      <c r="B20" t="s">
        <v>120</v>
      </c>
      <c r="C20" t="s">
        <v>120</v>
      </c>
      <c r="D20" t="s">
        <v>122</v>
      </c>
      <c r="E20" t="s">
        <v>120</v>
      </c>
      <c r="F20" t="s">
        <v>122</v>
      </c>
    </row>
    <row r="21" spans="1:6" x14ac:dyDescent="0.3">
      <c r="A21" t="s">
        <v>49</v>
      </c>
      <c r="B21" t="s">
        <v>120</v>
      </c>
      <c r="C21" t="s">
        <v>121</v>
      </c>
      <c r="D21" t="s">
        <v>122</v>
      </c>
      <c r="E21" t="s">
        <v>120</v>
      </c>
      <c r="F21" t="s">
        <v>120</v>
      </c>
    </row>
    <row r="22" spans="1:6" x14ac:dyDescent="0.3">
      <c r="A22" t="s">
        <v>51</v>
      </c>
      <c r="B22" t="s">
        <v>122</v>
      </c>
      <c r="C22" t="s">
        <v>120</v>
      </c>
      <c r="D22" t="s">
        <v>120</v>
      </c>
      <c r="E22" t="s">
        <v>122</v>
      </c>
      <c r="F22" t="s">
        <v>123</v>
      </c>
    </row>
    <row r="23" spans="1:6" x14ac:dyDescent="0.3">
      <c r="A23" t="s">
        <v>53</v>
      </c>
      <c r="B23" t="s">
        <v>121</v>
      </c>
      <c r="C23" t="s">
        <v>122</v>
      </c>
      <c r="D23" t="s">
        <v>120</v>
      </c>
      <c r="E23" t="s">
        <v>120</v>
      </c>
      <c r="F23" t="s">
        <v>120</v>
      </c>
    </row>
    <row r="24" spans="1:6" x14ac:dyDescent="0.3">
      <c r="A24" t="s">
        <v>55</v>
      </c>
      <c r="B24" t="s">
        <v>120</v>
      </c>
      <c r="C24" t="s">
        <v>122</v>
      </c>
      <c r="D24" t="s">
        <v>122</v>
      </c>
      <c r="E24" t="s">
        <v>120</v>
      </c>
      <c r="F24" t="s">
        <v>123</v>
      </c>
    </row>
    <row r="25" spans="1:6" x14ac:dyDescent="0.3">
      <c r="A25" t="s">
        <v>57</v>
      </c>
      <c r="B25" t="s">
        <v>122</v>
      </c>
      <c r="C25" t="s">
        <v>122</v>
      </c>
      <c r="D25" t="s">
        <v>121</v>
      </c>
      <c r="E25" t="s">
        <v>120</v>
      </c>
      <c r="F25" t="s">
        <v>120</v>
      </c>
    </row>
    <row r="26" spans="1:6" x14ac:dyDescent="0.3">
      <c r="A26" t="s">
        <v>59</v>
      </c>
      <c r="B26" t="s">
        <v>122</v>
      </c>
      <c r="C26" t="s">
        <v>120</v>
      </c>
      <c r="D26" t="s">
        <v>120</v>
      </c>
      <c r="E26" t="s">
        <v>121</v>
      </c>
      <c r="F26" t="s">
        <v>120</v>
      </c>
    </row>
    <row r="27" spans="1:6" x14ac:dyDescent="0.3">
      <c r="A27" t="s">
        <v>61</v>
      </c>
      <c r="B27" t="s">
        <v>122</v>
      </c>
      <c r="C27" t="s">
        <v>122</v>
      </c>
      <c r="D27" t="s">
        <v>122</v>
      </c>
      <c r="E27" t="s">
        <v>120</v>
      </c>
      <c r="F27" t="s">
        <v>120</v>
      </c>
    </row>
    <row r="28" spans="1:6" x14ac:dyDescent="0.3">
      <c r="A28" t="s">
        <v>63</v>
      </c>
      <c r="B28" t="s">
        <v>121</v>
      </c>
      <c r="C28" t="s">
        <v>120</v>
      </c>
      <c r="D28" t="s">
        <v>121</v>
      </c>
      <c r="E28" t="s">
        <v>122</v>
      </c>
      <c r="F28" t="s">
        <v>123</v>
      </c>
    </row>
    <row r="29" spans="1:6" x14ac:dyDescent="0.3">
      <c r="A29" t="s">
        <v>65</v>
      </c>
      <c r="B29" t="s">
        <v>120</v>
      </c>
      <c r="C29" t="s">
        <v>120</v>
      </c>
      <c r="D29" t="s">
        <v>121</v>
      </c>
      <c r="E29" t="s">
        <v>122</v>
      </c>
      <c r="F29" t="s">
        <v>120</v>
      </c>
    </row>
    <row r="30" spans="1:6" x14ac:dyDescent="0.3">
      <c r="A30" t="s">
        <v>67</v>
      </c>
      <c r="B30" t="s">
        <v>120</v>
      </c>
      <c r="C30" t="s">
        <v>120</v>
      </c>
      <c r="D30" t="s">
        <v>121</v>
      </c>
      <c r="E30" t="s">
        <v>121</v>
      </c>
      <c r="F30" t="s">
        <v>122</v>
      </c>
    </row>
    <row r="31" spans="1:6" x14ac:dyDescent="0.3">
      <c r="A31" t="s">
        <v>69</v>
      </c>
      <c r="B31" t="s">
        <v>120</v>
      </c>
      <c r="C31" t="s">
        <v>120</v>
      </c>
      <c r="D31" t="s">
        <v>122</v>
      </c>
      <c r="E31" t="s">
        <v>121</v>
      </c>
      <c r="F31" t="s">
        <v>122</v>
      </c>
    </row>
    <row r="32" spans="1:6" x14ac:dyDescent="0.3">
      <c r="A32" t="s">
        <v>71</v>
      </c>
      <c r="B32" t="s">
        <v>120</v>
      </c>
      <c r="C32" t="s">
        <v>120</v>
      </c>
      <c r="D32" t="s">
        <v>120</v>
      </c>
      <c r="E32" t="s">
        <v>122</v>
      </c>
      <c r="F32" t="s">
        <v>122</v>
      </c>
    </row>
    <row r="33" spans="1:6" x14ac:dyDescent="0.3">
      <c r="A33" t="s">
        <v>73</v>
      </c>
      <c r="B33" t="s">
        <v>120</v>
      </c>
      <c r="C33" t="s">
        <v>120</v>
      </c>
      <c r="D33" t="s">
        <v>120</v>
      </c>
      <c r="E33" t="s">
        <v>120</v>
      </c>
      <c r="F33" t="s">
        <v>122</v>
      </c>
    </row>
    <row r="34" spans="1:6" x14ac:dyDescent="0.3">
      <c r="A34" t="s">
        <v>75</v>
      </c>
      <c r="B34" t="s">
        <v>122</v>
      </c>
      <c r="C34" t="s">
        <v>122</v>
      </c>
      <c r="D34" t="s">
        <v>120</v>
      </c>
      <c r="E34" t="s">
        <v>122</v>
      </c>
      <c r="F34" t="s">
        <v>122</v>
      </c>
    </row>
    <row r="35" spans="1:6" x14ac:dyDescent="0.3">
      <c r="A35" t="s">
        <v>77</v>
      </c>
      <c r="B35" t="s">
        <v>120</v>
      </c>
      <c r="C35" t="s">
        <v>120</v>
      </c>
      <c r="D35" t="s">
        <v>121</v>
      </c>
      <c r="E35" t="s">
        <v>122</v>
      </c>
      <c r="F35" t="s">
        <v>120</v>
      </c>
    </row>
    <row r="36" spans="1:6" x14ac:dyDescent="0.3">
      <c r="A36" t="s">
        <v>79</v>
      </c>
      <c r="B36" t="s">
        <v>122</v>
      </c>
      <c r="C36" t="s">
        <v>120</v>
      </c>
      <c r="D36" t="s">
        <v>120</v>
      </c>
      <c r="E36" t="s">
        <v>122</v>
      </c>
      <c r="F36" t="s">
        <v>120</v>
      </c>
    </row>
    <row r="37" spans="1:6" x14ac:dyDescent="0.3">
      <c r="A37" t="s">
        <v>81</v>
      </c>
      <c r="B37" t="s">
        <v>122</v>
      </c>
      <c r="C37" t="s">
        <v>120</v>
      </c>
      <c r="D37" t="s">
        <v>120</v>
      </c>
      <c r="E37" t="s">
        <v>122</v>
      </c>
      <c r="F37" t="s">
        <v>120</v>
      </c>
    </row>
    <row r="38" spans="1:6" x14ac:dyDescent="0.3">
      <c r="A38" t="s">
        <v>83</v>
      </c>
      <c r="B38" t="s">
        <v>120</v>
      </c>
      <c r="C38" t="s">
        <v>121</v>
      </c>
      <c r="D38" t="s">
        <v>120</v>
      </c>
      <c r="E38" t="s">
        <v>121</v>
      </c>
      <c r="F38" t="s">
        <v>123</v>
      </c>
    </row>
    <row r="39" spans="1:6" x14ac:dyDescent="0.3">
      <c r="A39" t="s">
        <v>85</v>
      </c>
      <c r="B39" t="s">
        <v>122</v>
      </c>
      <c r="C39" t="s">
        <v>122</v>
      </c>
      <c r="D39" t="s">
        <v>120</v>
      </c>
      <c r="E39" t="s">
        <v>120</v>
      </c>
      <c r="F39" t="s">
        <v>120</v>
      </c>
    </row>
    <row r="40" spans="1:6" x14ac:dyDescent="0.3">
      <c r="A40" t="s">
        <v>87</v>
      </c>
      <c r="B40" t="s">
        <v>122</v>
      </c>
      <c r="C40" t="s">
        <v>120</v>
      </c>
      <c r="D40" t="s">
        <v>122</v>
      </c>
      <c r="E40" t="s">
        <v>122</v>
      </c>
      <c r="F40" t="s">
        <v>120</v>
      </c>
    </row>
    <row r="41" spans="1:6" x14ac:dyDescent="0.3">
      <c r="A41" t="s">
        <v>89</v>
      </c>
      <c r="B41" t="s">
        <v>120</v>
      </c>
      <c r="C41" t="s">
        <v>121</v>
      </c>
      <c r="D41" t="s">
        <v>122</v>
      </c>
      <c r="E41" t="s">
        <v>120</v>
      </c>
      <c r="F41" t="s">
        <v>123</v>
      </c>
    </row>
    <row r="42" spans="1:6" x14ac:dyDescent="0.3">
      <c r="A42" t="s">
        <v>91</v>
      </c>
      <c r="B42" t="s">
        <v>121</v>
      </c>
      <c r="C42" t="s">
        <v>120</v>
      </c>
      <c r="D42" t="s">
        <v>122</v>
      </c>
      <c r="E42" t="s">
        <v>121</v>
      </c>
      <c r="F42" t="s">
        <v>120</v>
      </c>
    </row>
    <row r="43" spans="1:6" x14ac:dyDescent="0.3">
      <c r="A43" t="s">
        <v>93</v>
      </c>
      <c r="B43" t="s">
        <v>122</v>
      </c>
      <c r="C43" t="s">
        <v>120</v>
      </c>
      <c r="D43" t="s">
        <v>120</v>
      </c>
      <c r="E43" t="s">
        <v>121</v>
      </c>
      <c r="F43" t="s">
        <v>120</v>
      </c>
    </row>
    <row r="44" spans="1:6" x14ac:dyDescent="0.3">
      <c r="A44" t="s">
        <v>95</v>
      </c>
      <c r="B44" t="s">
        <v>122</v>
      </c>
      <c r="C44" t="s">
        <v>120</v>
      </c>
      <c r="D44" t="s">
        <v>122</v>
      </c>
      <c r="E44" t="s">
        <v>122</v>
      </c>
      <c r="F44" t="s">
        <v>120</v>
      </c>
    </row>
    <row r="45" spans="1:6" x14ac:dyDescent="0.3">
      <c r="A45" t="s">
        <v>97</v>
      </c>
      <c r="B45" t="s">
        <v>120</v>
      </c>
      <c r="C45" t="s">
        <v>120</v>
      </c>
      <c r="D45" t="s">
        <v>120</v>
      </c>
      <c r="E45" t="s">
        <v>122</v>
      </c>
      <c r="F45" t="s">
        <v>120</v>
      </c>
    </row>
    <row r="46" spans="1:6" x14ac:dyDescent="0.3">
      <c r="A46" t="s">
        <v>99</v>
      </c>
      <c r="B46" t="s">
        <v>121</v>
      </c>
      <c r="C46" t="s">
        <v>120</v>
      </c>
      <c r="D46" t="s">
        <v>122</v>
      </c>
      <c r="E46" t="s">
        <v>122</v>
      </c>
      <c r="F46" t="s">
        <v>120</v>
      </c>
    </row>
    <row r="47" spans="1:6" x14ac:dyDescent="0.3">
      <c r="A47" t="s">
        <v>101</v>
      </c>
      <c r="B47" t="s">
        <v>120</v>
      </c>
      <c r="C47" t="s">
        <v>122</v>
      </c>
      <c r="D47" t="s">
        <v>120</v>
      </c>
      <c r="E47" t="s">
        <v>122</v>
      </c>
      <c r="F47" t="s">
        <v>120</v>
      </c>
    </row>
    <row r="48" spans="1:6" x14ac:dyDescent="0.3">
      <c r="A48" t="s">
        <v>103</v>
      </c>
      <c r="B48" t="s">
        <v>120</v>
      </c>
      <c r="C48" t="s">
        <v>122</v>
      </c>
      <c r="D48" t="s">
        <v>120</v>
      </c>
      <c r="E48" t="s">
        <v>122</v>
      </c>
      <c r="F48" t="s">
        <v>123</v>
      </c>
    </row>
    <row r="49" spans="1:6" x14ac:dyDescent="0.3">
      <c r="A49" t="s">
        <v>105</v>
      </c>
      <c r="B49" t="s">
        <v>120</v>
      </c>
      <c r="C49" t="s">
        <v>120</v>
      </c>
      <c r="D49" t="s">
        <v>120</v>
      </c>
      <c r="E49" t="s">
        <v>120</v>
      </c>
      <c r="F49" t="s">
        <v>123</v>
      </c>
    </row>
    <row r="50" spans="1:6" x14ac:dyDescent="0.3">
      <c r="A50" t="s">
        <v>107</v>
      </c>
      <c r="B50" t="s">
        <v>122</v>
      </c>
      <c r="C50" t="s">
        <v>121</v>
      </c>
      <c r="D50" t="s">
        <v>122</v>
      </c>
      <c r="E50" t="s">
        <v>122</v>
      </c>
      <c r="F50" t="s">
        <v>122</v>
      </c>
    </row>
    <row r="51" spans="1:6" x14ac:dyDescent="0.3">
      <c r="A51" t="s">
        <v>109</v>
      </c>
      <c r="B51" t="s">
        <v>121</v>
      </c>
      <c r="C51" t="s">
        <v>120</v>
      </c>
      <c r="D51" t="s">
        <v>121</v>
      </c>
      <c r="E51" t="s">
        <v>122</v>
      </c>
      <c r="F51" t="s">
        <v>120</v>
      </c>
    </row>
  </sheetData>
  <autoFilter ref="A1:F1" xr:uid="{00000000-0001-0000-02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1"/>
  <sheetViews>
    <sheetView topLeftCell="A16" workbookViewId="0">
      <selection activeCell="G2" sqref="G2"/>
    </sheetView>
  </sheetViews>
  <sheetFormatPr defaultRowHeight="14.4" x14ac:dyDescent="0.3"/>
  <cols>
    <col min="3" max="3" width="18.21875" customWidth="1"/>
    <col min="4" max="4" width="14.77734375" customWidth="1"/>
    <col min="5" max="5" width="14.21875" customWidth="1"/>
  </cols>
  <sheetData>
    <row r="1" spans="1:5" x14ac:dyDescent="0.3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</row>
    <row r="2" spans="1:5" x14ac:dyDescent="0.3">
      <c r="A2" t="s">
        <v>6</v>
      </c>
      <c r="B2" t="s">
        <v>128</v>
      </c>
      <c r="C2" t="s">
        <v>129</v>
      </c>
      <c r="D2" t="s">
        <v>130</v>
      </c>
      <c r="E2">
        <v>3.3</v>
      </c>
    </row>
    <row r="3" spans="1:5" x14ac:dyDescent="0.3">
      <c r="A3" t="s">
        <v>10</v>
      </c>
      <c r="B3" t="s">
        <v>128</v>
      </c>
      <c r="C3" t="s">
        <v>131</v>
      </c>
      <c r="D3" t="s">
        <v>132</v>
      </c>
      <c r="E3">
        <v>0</v>
      </c>
    </row>
    <row r="4" spans="1:5" x14ac:dyDescent="0.3">
      <c r="A4" t="s">
        <v>14</v>
      </c>
      <c r="B4" t="s">
        <v>128</v>
      </c>
      <c r="C4" t="s">
        <v>129</v>
      </c>
      <c r="D4" t="s">
        <v>133</v>
      </c>
      <c r="E4">
        <v>3.5</v>
      </c>
    </row>
    <row r="5" spans="1:5" x14ac:dyDescent="0.3">
      <c r="A5" t="s">
        <v>16</v>
      </c>
      <c r="B5" t="s">
        <v>134</v>
      </c>
      <c r="C5" t="s">
        <v>129</v>
      </c>
      <c r="D5" t="s">
        <v>135</v>
      </c>
      <c r="E5">
        <v>3.3</v>
      </c>
    </row>
    <row r="6" spans="1:5" x14ac:dyDescent="0.3">
      <c r="A6" t="s">
        <v>18</v>
      </c>
      <c r="B6" t="s">
        <v>128</v>
      </c>
      <c r="C6" t="s">
        <v>129</v>
      </c>
      <c r="D6" t="s">
        <v>136</v>
      </c>
      <c r="E6">
        <v>4.2</v>
      </c>
    </row>
    <row r="7" spans="1:5" x14ac:dyDescent="0.3">
      <c r="A7" t="s">
        <v>21</v>
      </c>
      <c r="B7" t="s">
        <v>134</v>
      </c>
      <c r="C7" t="s">
        <v>129</v>
      </c>
      <c r="D7" t="s">
        <v>137</v>
      </c>
      <c r="E7">
        <v>2.9</v>
      </c>
    </row>
    <row r="8" spans="1:5" x14ac:dyDescent="0.3">
      <c r="A8" t="s">
        <v>23</v>
      </c>
      <c r="B8" t="s">
        <v>134</v>
      </c>
      <c r="C8" t="s">
        <v>129</v>
      </c>
      <c r="D8" t="s">
        <v>138</v>
      </c>
      <c r="E8">
        <v>5.0999999999999996</v>
      </c>
    </row>
    <row r="9" spans="1:5" x14ac:dyDescent="0.3">
      <c r="A9" t="s">
        <v>25</v>
      </c>
      <c r="B9" t="s">
        <v>128</v>
      </c>
      <c r="C9" t="s">
        <v>139</v>
      </c>
      <c r="D9" t="s">
        <v>132</v>
      </c>
      <c r="E9">
        <v>0</v>
      </c>
    </row>
    <row r="10" spans="1:5" x14ac:dyDescent="0.3">
      <c r="A10" t="s">
        <v>27</v>
      </c>
      <c r="B10" t="s">
        <v>134</v>
      </c>
      <c r="C10" t="s">
        <v>131</v>
      </c>
      <c r="D10" t="s">
        <v>132</v>
      </c>
      <c r="E10">
        <v>0</v>
      </c>
    </row>
    <row r="11" spans="1:5" x14ac:dyDescent="0.3">
      <c r="A11" t="s">
        <v>29</v>
      </c>
      <c r="B11" t="s">
        <v>134</v>
      </c>
      <c r="C11" t="s">
        <v>129</v>
      </c>
      <c r="D11" t="s">
        <v>136</v>
      </c>
      <c r="E11">
        <v>3.5</v>
      </c>
    </row>
    <row r="12" spans="1:5" x14ac:dyDescent="0.3">
      <c r="A12" t="s">
        <v>31</v>
      </c>
      <c r="B12" t="s">
        <v>128</v>
      </c>
      <c r="C12" t="s">
        <v>129</v>
      </c>
      <c r="D12" t="s">
        <v>133</v>
      </c>
      <c r="E12">
        <v>3.1</v>
      </c>
    </row>
    <row r="13" spans="1:5" x14ac:dyDescent="0.3">
      <c r="A13" t="s">
        <v>33</v>
      </c>
      <c r="B13" t="s">
        <v>128</v>
      </c>
      <c r="C13" t="s">
        <v>139</v>
      </c>
      <c r="D13" t="s">
        <v>132</v>
      </c>
      <c r="E13">
        <v>0</v>
      </c>
    </row>
    <row r="14" spans="1:5" x14ac:dyDescent="0.3">
      <c r="A14" t="s">
        <v>35</v>
      </c>
      <c r="B14" t="s">
        <v>134</v>
      </c>
      <c r="C14" t="s">
        <v>139</v>
      </c>
      <c r="D14" t="s">
        <v>132</v>
      </c>
      <c r="E14">
        <v>0</v>
      </c>
    </row>
    <row r="15" spans="1:5" x14ac:dyDescent="0.3">
      <c r="A15" t="s">
        <v>37</v>
      </c>
      <c r="B15" t="s">
        <v>134</v>
      </c>
      <c r="C15" t="s">
        <v>129</v>
      </c>
      <c r="D15" t="s">
        <v>133</v>
      </c>
      <c r="E15">
        <v>5.9</v>
      </c>
    </row>
    <row r="16" spans="1:5" x14ac:dyDescent="0.3">
      <c r="A16" t="s">
        <v>39</v>
      </c>
      <c r="B16" t="s">
        <v>134</v>
      </c>
      <c r="C16" t="s">
        <v>129</v>
      </c>
      <c r="D16" t="s">
        <v>138</v>
      </c>
      <c r="E16">
        <v>2.9</v>
      </c>
    </row>
    <row r="17" spans="1:5" x14ac:dyDescent="0.3">
      <c r="A17" t="s">
        <v>41</v>
      </c>
      <c r="B17" t="s">
        <v>134</v>
      </c>
      <c r="C17" t="s">
        <v>129</v>
      </c>
      <c r="D17" t="s">
        <v>140</v>
      </c>
      <c r="E17">
        <v>5.6</v>
      </c>
    </row>
    <row r="18" spans="1:5" x14ac:dyDescent="0.3">
      <c r="A18" t="s">
        <v>43</v>
      </c>
      <c r="B18" t="s">
        <v>134</v>
      </c>
      <c r="C18" t="s">
        <v>131</v>
      </c>
      <c r="D18" t="s">
        <v>132</v>
      </c>
      <c r="E18">
        <v>0</v>
      </c>
    </row>
    <row r="19" spans="1:5" x14ac:dyDescent="0.3">
      <c r="A19" t="s">
        <v>45</v>
      </c>
      <c r="B19" t="s">
        <v>134</v>
      </c>
      <c r="C19" t="s">
        <v>139</v>
      </c>
      <c r="D19" t="s">
        <v>132</v>
      </c>
      <c r="E19">
        <v>0</v>
      </c>
    </row>
    <row r="20" spans="1:5" x14ac:dyDescent="0.3">
      <c r="A20" t="s">
        <v>47</v>
      </c>
      <c r="B20" t="s">
        <v>134</v>
      </c>
      <c r="C20" t="s">
        <v>129</v>
      </c>
      <c r="D20" t="s">
        <v>140</v>
      </c>
      <c r="E20">
        <v>5</v>
      </c>
    </row>
    <row r="21" spans="1:5" x14ac:dyDescent="0.3">
      <c r="A21" t="s">
        <v>49</v>
      </c>
      <c r="B21" t="s">
        <v>134</v>
      </c>
      <c r="C21" t="s">
        <v>129</v>
      </c>
      <c r="D21" t="s">
        <v>141</v>
      </c>
      <c r="E21">
        <v>7.1</v>
      </c>
    </row>
    <row r="22" spans="1:5" x14ac:dyDescent="0.3">
      <c r="A22" t="s">
        <v>51</v>
      </c>
      <c r="B22" t="s">
        <v>134</v>
      </c>
      <c r="C22" t="s">
        <v>139</v>
      </c>
      <c r="D22" t="s">
        <v>132</v>
      </c>
      <c r="E22">
        <v>0</v>
      </c>
    </row>
    <row r="23" spans="1:5" x14ac:dyDescent="0.3">
      <c r="A23" t="s">
        <v>53</v>
      </c>
      <c r="B23" t="s">
        <v>128</v>
      </c>
      <c r="C23" t="s">
        <v>139</v>
      </c>
      <c r="D23" t="s">
        <v>132</v>
      </c>
      <c r="E23">
        <v>0</v>
      </c>
    </row>
    <row r="24" spans="1:5" x14ac:dyDescent="0.3">
      <c r="A24" t="s">
        <v>55</v>
      </c>
      <c r="B24" t="s">
        <v>134</v>
      </c>
      <c r="C24" t="s">
        <v>131</v>
      </c>
      <c r="D24" t="s">
        <v>132</v>
      </c>
      <c r="E24">
        <v>0</v>
      </c>
    </row>
    <row r="25" spans="1:5" x14ac:dyDescent="0.3">
      <c r="A25" t="s">
        <v>57</v>
      </c>
      <c r="B25" t="s">
        <v>128</v>
      </c>
      <c r="C25" t="s">
        <v>131</v>
      </c>
      <c r="D25" t="s">
        <v>132</v>
      </c>
      <c r="E25">
        <v>0</v>
      </c>
    </row>
    <row r="26" spans="1:5" x14ac:dyDescent="0.3">
      <c r="A26" t="s">
        <v>59</v>
      </c>
      <c r="B26" t="s">
        <v>128</v>
      </c>
      <c r="C26" t="s">
        <v>139</v>
      </c>
      <c r="D26" t="s">
        <v>132</v>
      </c>
      <c r="E26">
        <v>0</v>
      </c>
    </row>
    <row r="27" spans="1:5" x14ac:dyDescent="0.3">
      <c r="A27" t="s">
        <v>61</v>
      </c>
      <c r="B27" t="s">
        <v>134</v>
      </c>
      <c r="C27" t="s">
        <v>131</v>
      </c>
      <c r="D27" t="s">
        <v>132</v>
      </c>
      <c r="E27">
        <v>0</v>
      </c>
    </row>
    <row r="28" spans="1:5" x14ac:dyDescent="0.3">
      <c r="A28" t="s">
        <v>63</v>
      </c>
      <c r="B28" t="s">
        <v>128</v>
      </c>
      <c r="C28" t="s">
        <v>129</v>
      </c>
      <c r="D28" t="s">
        <v>135</v>
      </c>
      <c r="E28">
        <v>2.4</v>
      </c>
    </row>
    <row r="29" spans="1:5" x14ac:dyDescent="0.3">
      <c r="A29" t="s">
        <v>65</v>
      </c>
      <c r="B29" t="s">
        <v>128</v>
      </c>
      <c r="C29" t="s">
        <v>129</v>
      </c>
      <c r="D29" t="s">
        <v>136</v>
      </c>
      <c r="E29">
        <v>6.5</v>
      </c>
    </row>
    <row r="30" spans="1:5" x14ac:dyDescent="0.3">
      <c r="A30" t="s">
        <v>67</v>
      </c>
      <c r="B30" t="s">
        <v>134</v>
      </c>
      <c r="C30" t="s">
        <v>129</v>
      </c>
      <c r="D30" t="s">
        <v>138</v>
      </c>
      <c r="E30">
        <v>5.4</v>
      </c>
    </row>
    <row r="31" spans="1:5" x14ac:dyDescent="0.3">
      <c r="A31" t="s">
        <v>69</v>
      </c>
      <c r="B31" t="s">
        <v>134</v>
      </c>
      <c r="C31" t="s">
        <v>129</v>
      </c>
      <c r="D31" t="s">
        <v>136</v>
      </c>
      <c r="E31">
        <v>3.5</v>
      </c>
    </row>
    <row r="32" spans="1:5" x14ac:dyDescent="0.3">
      <c r="A32" t="s">
        <v>71</v>
      </c>
      <c r="B32" t="s">
        <v>128</v>
      </c>
      <c r="C32" t="s">
        <v>129</v>
      </c>
      <c r="D32" t="s">
        <v>140</v>
      </c>
      <c r="E32">
        <v>7.1</v>
      </c>
    </row>
    <row r="33" spans="1:5" x14ac:dyDescent="0.3">
      <c r="A33" t="s">
        <v>73</v>
      </c>
      <c r="B33" t="s">
        <v>134</v>
      </c>
      <c r="C33" t="s">
        <v>131</v>
      </c>
      <c r="D33" t="s">
        <v>132</v>
      </c>
      <c r="E33">
        <v>0</v>
      </c>
    </row>
    <row r="34" spans="1:5" x14ac:dyDescent="0.3">
      <c r="A34" t="s">
        <v>75</v>
      </c>
      <c r="B34" t="s">
        <v>134</v>
      </c>
      <c r="C34" t="s">
        <v>139</v>
      </c>
      <c r="D34" t="s">
        <v>132</v>
      </c>
      <c r="E34">
        <v>0</v>
      </c>
    </row>
    <row r="35" spans="1:5" x14ac:dyDescent="0.3">
      <c r="A35" t="s">
        <v>77</v>
      </c>
      <c r="B35" t="s">
        <v>128</v>
      </c>
      <c r="C35" t="s">
        <v>139</v>
      </c>
      <c r="D35" t="s">
        <v>132</v>
      </c>
      <c r="E35">
        <v>0</v>
      </c>
    </row>
    <row r="36" spans="1:5" x14ac:dyDescent="0.3">
      <c r="A36" t="s">
        <v>79</v>
      </c>
      <c r="B36" t="s">
        <v>128</v>
      </c>
      <c r="C36" t="s">
        <v>129</v>
      </c>
      <c r="D36" t="s">
        <v>137</v>
      </c>
      <c r="E36">
        <v>5.6</v>
      </c>
    </row>
    <row r="37" spans="1:5" x14ac:dyDescent="0.3">
      <c r="A37" t="s">
        <v>81</v>
      </c>
      <c r="B37" t="s">
        <v>134</v>
      </c>
      <c r="C37" t="s">
        <v>139</v>
      </c>
      <c r="D37" t="s">
        <v>132</v>
      </c>
      <c r="E37">
        <v>0</v>
      </c>
    </row>
    <row r="38" spans="1:5" x14ac:dyDescent="0.3">
      <c r="A38" t="s">
        <v>83</v>
      </c>
      <c r="B38" t="s">
        <v>128</v>
      </c>
      <c r="C38" t="s">
        <v>129</v>
      </c>
      <c r="D38" t="s">
        <v>140</v>
      </c>
      <c r="E38">
        <v>5.0999999999999996</v>
      </c>
    </row>
    <row r="39" spans="1:5" x14ac:dyDescent="0.3">
      <c r="A39" t="s">
        <v>85</v>
      </c>
      <c r="B39" t="s">
        <v>128</v>
      </c>
      <c r="C39" t="s">
        <v>139</v>
      </c>
      <c r="D39" t="s">
        <v>132</v>
      </c>
      <c r="E39">
        <v>0</v>
      </c>
    </row>
    <row r="40" spans="1:5" x14ac:dyDescent="0.3">
      <c r="A40" t="s">
        <v>87</v>
      </c>
      <c r="B40" t="s">
        <v>134</v>
      </c>
      <c r="C40" t="s">
        <v>129</v>
      </c>
      <c r="D40" t="s">
        <v>133</v>
      </c>
      <c r="E40">
        <v>6.2</v>
      </c>
    </row>
    <row r="41" spans="1:5" x14ac:dyDescent="0.3">
      <c r="A41" t="s">
        <v>89</v>
      </c>
      <c r="B41" t="s">
        <v>128</v>
      </c>
      <c r="C41" t="s">
        <v>139</v>
      </c>
      <c r="D41" t="s">
        <v>132</v>
      </c>
      <c r="E41">
        <v>0</v>
      </c>
    </row>
    <row r="42" spans="1:5" x14ac:dyDescent="0.3">
      <c r="A42" t="s">
        <v>91</v>
      </c>
      <c r="B42" t="s">
        <v>128</v>
      </c>
      <c r="C42" t="s">
        <v>129</v>
      </c>
      <c r="D42" t="s">
        <v>137</v>
      </c>
      <c r="E42">
        <v>3.2</v>
      </c>
    </row>
    <row r="43" spans="1:5" x14ac:dyDescent="0.3">
      <c r="A43" t="s">
        <v>93</v>
      </c>
      <c r="B43" t="s">
        <v>128</v>
      </c>
      <c r="C43" t="s">
        <v>129</v>
      </c>
      <c r="D43" t="s">
        <v>141</v>
      </c>
      <c r="E43">
        <v>6</v>
      </c>
    </row>
    <row r="44" spans="1:5" x14ac:dyDescent="0.3">
      <c r="A44" t="s">
        <v>95</v>
      </c>
      <c r="B44" t="s">
        <v>134</v>
      </c>
      <c r="C44" t="s">
        <v>139</v>
      </c>
      <c r="D44" t="s">
        <v>132</v>
      </c>
      <c r="E44">
        <v>0</v>
      </c>
    </row>
    <row r="45" spans="1:5" x14ac:dyDescent="0.3">
      <c r="A45" t="s">
        <v>97</v>
      </c>
      <c r="B45" t="s">
        <v>128</v>
      </c>
      <c r="C45" t="s">
        <v>139</v>
      </c>
      <c r="D45" t="s">
        <v>132</v>
      </c>
      <c r="E45">
        <v>0</v>
      </c>
    </row>
    <row r="46" spans="1:5" x14ac:dyDescent="0.3">
      <c r="A46" t="s">
        <v>99</v>
      </c>
      <c r="B46" t="s">
        <v>134</v>
      </c>
      <c r="C46" t="s">
        <v>129</v>
      </c>
      <c r="D46" t="s">
        <v>140</v>
      </c>
      <c r="E46">
        <v>6.7</v>
      </c>
    </row>
    <row r="47" spans="1:5" x14ac:dyDescent="0.3">
      <c r="A47" t="s">
        <v>101</v>
      </c>
      <c r="B47" t="s">
        <v>128</v>
      </c>
      <c r="C47" t="s">
        <v>129</v>
      </c>
      <c r="D47" t="s">
        <v>141</v>
      </c>
      <c r="E47">
        <v>5.0999999999999996</v>
      </c>
    </row>
    <row r="48" spans="1:5" x14ac:dyDescent="0.3">
      <c r="A48" t="s">
        <v>103</v>
      </c>
      <c r="B48" t="s">
        <v>134</v>
      </c>
      <c r="C48" t="s">
        <v>131</v>
      </c>
      <c r="D48" t="s">
        <v>132</v>
      </c>
      <c r="E48">
        <v>0</v>
      </c>
    </row>
    <row r="49" spans="1:5" x14ac:dyDescent="0.3">
      <c r="A49" t="s">
        <v>105</v>
      </c>
      <c r="B49" t="s">
        <v>128</v>
      </c>
      <c r="C49" t="s">
        <v>139</v>
      </c>
      <c r="D49" t="s">
        <v>132</v>
      </c>
      <c r="E49">
        <v>0</v>
      </c>
    </row>
    <row r="50" spans="1:5" x14ac:dyDescent="0.3">
      <c r="A50" t="s">
        <v>107</v>
      </c>
      <c r="B50" t="s">
        <v>134</v>
      </c>
      <c r="C50" t="s">
        <v>129</v>
      </c>
      <c r="D50" t="s">
        <v>135</v>
      </c>
      <c r="E50">
        <v>6.8</v>
      </c>
    </row>
    <row r="51" spans="1:5" x14ac:dyDescent="0.3">
      <c r="A51" t="s">
        <v>109</v>
      </c>
      <c r="B51" t="s">
        <v>128</v>
      </c>
      <c r="C51" t="s">
        <v>139</v>
      </c>
      <c r="D51" t="s">
        <v>132</v>
      </c>
      <c r="E51">
        <v>0</v>
      </c>
    </row>
  </sheetData>
  <autoFilter ref="A1:E1" xr:uid="{00000000-0001-0000-03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Students</vt:lpstr>
      <vt:lpstr>Academic</vt:lpstr>
      <vt:lpstr>Skills</vt:lpstr>
      <vt:lpstr>Placement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Naina Roge</cp:lastModifiedBy>
  <dcterms:created xsi:type="dcterms:W3CDTF">2026-09-30T12:01:50Z</dcterms:created>
  <dcterms:modified xsi:type="dcterms:W3CDTF">2026-09-30T13:07:14Z</dcterms:modified>
</cp:coreProperties>
</file>